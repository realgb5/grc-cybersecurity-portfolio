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Executive Dashboard" sheetId="2" state="visible" r:id="rId2"/>
    <sheet xmlns:r="http://schemas.openxmlformats.org/officeDocument/2006/relationships" name="Methodology" sheetId="3" state="visible" r:id="rId3"/>
    <sheet xmlns:r="http://schemas.openxmlformats.org/officeDocument/2006/relationships" name="Project Scope" sheetId="4" state="visible" r:id="rId4"/>
    <sheet xmlns:r="http://schemas.openxmlformats.org/officeDocument/2006/relationships" name="References" sheetId="5" state="visible" r:id="rId5"/>
  </sheets>
  <definedNames>
    <definedName name="_xlnm._FilterDatabase" localSheetId="0" hidden="1">'Risk Register'!$A$1:$N$11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2"/>
    </font>
    <font>
      <i val="1"/>
      <color rgb="00666666"/>
    </font>
    <font>
      <b val="1"/>
      <sz val="20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2" borderId="0" pivotButton="0" quotePrefix="0" xfId="0"/>
    <xf numFmtId="0" fontId="3" fillId="0" borderId="0" pivotButton="0" quotePrefix="0" xfId="0"/>
    <xf numFmtId="0" fontId="1" fillId="3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Risks by Rating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Dashboard'!$A$9:$A$12</f>
            </numRef>
          </cat>
          <val>
            <numRef>
              <f>'Executive Dashboard'!$B$9:$B$12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Risks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Status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'Executive Dashboard'!B16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Dashboard'!$A$17:$A$21</f>
            </numRef>
          </cat>
          <val>
            <numRef>
              <f>'Executive Dashboard'!$B$17:$B$21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6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20" customWidth="1" min="4" max="4"/>
    <col width="20" customWidth="1" min="5" max="5"/>
    <col width="16" customWidth="1" min="6" max="6"/>
    <col width="14" customWidth="1" min="7" max="7"/>
    <col width="12" customWidth="1" min="8" max="8"/>
    <col width="12" customWidth="1" min="9" max="9"/>
    <col width="15" customWidth="1" min="10" max="10"/>
    <col width="14" customWidth="1" min="11" max="11"/>
    <col width="14" customWidth="1" min="12" max="12"/>
    <col width="15" customWidth="1" min="13" max="13"/>
    <col width="40" customWidth="1" min="14" max="14"/>
  </cols>
  <sheetData>
    <row r="1">
      <c r="A1" s="1" t="inlineStr">
        <is>
          <t>Risk ID</t>
        </is>
      </c>
      <c r="B1" s="1" t="inlineStr">
        <is>
          <t>Risk Title</t>
        </is>
      </c>
      <c r="C1" s="1" t="inlineStr">
        <is>
          <t>Risk Category</t>
        </is>
      </c>
      <c r="D1" s="1" t="inlineStr">
        <is>
          <t>Business Area</t>
        </is>
      </c>
      <c r="E1" s="1" t="inlineStr">
        <is>
          <t>Owner</t>
        </is>
      </c>
      <c r="F1" s="1" t="inlineStr">
        <is>
          <t>Likelihood (1-5)</t>
        </is>
      </c>
      <c r="G1" s="1" t="inlineStr">
        <is>
          <t>Impact (1-5)</t>
        </is>
      </c>
      <c r="H1" s="1" t="inlineStr">
        <is>
          <t>Risk Score</t>
        </is>
      </c>
      <c r="I1" s="1" t="inlineStr">
        <is>
          <t>Rating</t>
        </is>
      </c>
      <c r="J1" s="1" t="inlineStr">
        <is>
          <t>Status</t>
        </is>
      </c>
      <c r="K1" s="1" t="inlineStr">
        <is>
          <t>Treatment</t>
        </is>
      </c>
      <c r="L1" s="1" t="inlineStr">
        <is>
          <t>Due Date</t>
        </is>
      </c>
      <c r="M1" s="1" t="inlineStr">
        <is>
          <t>Residual Score</t>
        </is>
      </c>
      <c r="N1" s="1" t="inlineStr">
        <is>
          <t>Notes</t>
        </is>
      </c>
    </row>
    <row r="2">
      <c r="A2" s="2" t="inlineStr">
        <is>
          <t>R-001</t>
        </is>
      </c>
      <c r="B2" s="2" t="inlineStr">
        <is>
          <t>Unauthorized access to employee accounts</t>
        </is>
      </c>
      <c r="C2" s="2" t="inlineStr">
        <is>
          <t>Cybersecurity</t>
        </is>
      </c>
      <c r="D2" s="2" t="inlineStr">
        <is>
          <t>IAM</t>
        </is>
      </c>
      <c r="E2" s="2" t="inlineStr">
        <is>
          <t>IAM Manager</t>
        </is>
      </c>
      <c r="F2" s="2" t="n">
        <v>5</v>
      </c>
      <c r="G2" s="2" t="n">
        <v>5</v>
      </c>
      <c r="H2" s="2">
        <f>F2*G2</f>
        <v/>
      </c>
      <c r="I2" s="2">
        <f>IF(H2&gt;=20,"Critical",IF(H2&gt;=12,"High",IF(H2&gt;=6,"Medium","Low")))</f>
        <v/>
      </c>
      <c r="J2" s="2" t="inlineStr">
        <is>
          <t>Open</t>
        </is>
      </c>
      <c r="K2" s="2" t="inlineStr">
        <is>
          <t>Mitigate</t>
        </is>
      </c>
      <c r="L2" s="2" t="inlineStr">
        <is>
          <t>2026-10-30</t>
        </is>
      </c>
      <c r="M2" s="2" t="n">
        <v>12</v>
      </c>
      <c r="N2" s="2" t="inlineStr">
        <is>
          <t>Strengthen MFA and privileged access controls.</t>
        </is>
      </c>
    </row>
    <row r="3">
      <c r="A3" s="2" t="inlineStr">
        <is>
          <t>R-002</t>
        </is>
      </c>
      <c r="B3" s="2" t="inlineStr">
        <is>
          <t>Customer data exposure</t>
        </is>
      </c>
      <c r="C3" s="2" t="inlineStr">
        <is>
          <t>Data Privacy</t>
        </is>
      </c>
      <c r="D3" s="2" t="inlineStr">
        <is>
          <t>Security</t>
        </is>
      </c>
      <c r="E3" s="2" t="inlineStr">
        <is>
          <t>CISO</t>
        </is>
      </c>
      <c r="F3" s="2" t="n">
        <v>4</v>
      </c>
      <c r="G3" s="2" t="n">
        <v>5</v>
      </c>
      <c r="H3" s="2">
        <f>F3*G3</f>
        <v/>
      </c>
      <c r="I3" s="2">
        <f>IF(H3&gt;=20,"Critical",IF(H3&gt;=12,"High",IF(H3&gt;=6,"Medium","Low")))</f>
        <v/>
      </c>
      <c r="J3" s="2" t="inlineStr">
        <is>
          <t>In Progress</t>
        </is>
      </c>
      <c r="K3" s="2" t="inlineStr">
        <is>
          <t>Mitigate</t>
        </is>
      </c>
      <c r="L3" s="2" t="inlineStr">
        <is>
          <t>2026-11-15</t>
        </is>
      </c>
      <c r="M3" s="2" t="n">
        <v>10</v>
      </c>
      <c r="N3" s="2" t="inlineStr">
        <is>
          <t>Improve data classification and DLP monitoring.</t>
        </is>
      </c>
    </row>
    <row r="4">
      <c r="A4" s="2" t="inlineStr">
        <is>
          <t>R-003</t>
        </is>
      </c>
      <c r="B4" s="2" t="inlineStr">
        <is>
          <t>Ransomware disruption</t>
        </is>
      </c>
      <c r="C4" s="2" t="inlineStr">
        <is>
          <t>Cybersecurity</t>
        </is>
      </c>
      <c r="D4" s="2" t="inlineStr">
        <is>
          <t>IT/Security</t>
        </is>
      </c>
      <c r="E4" s="2" t="inlineStr">
        <is>
          <t>Security Operations</t>
        </is>
      </c>
      <c r="F4" s="2" t="n">
        <v>4</v>
      </c>
      <c r="G4" s="2" t="n">
        <v>5</v>
      </c>
      <c r="H4" s="2">
        <f>F4*G4</f>
        <v/>
      </c>
      <c r="I4" s="2">
        <f>IF(H4&gt;=20,"Critical",IF(H4&gt;=12,"High",IF(H4&gt;=6,"Medium","Low")))</f>
        <v/>
      </c>
      <c r="J4" s="2" t="inlineStr">
        <is>
          <t>In Progress</t>
        </is>
      </c>
      <c r="K4" s="2" t="inlineStr">
        <is>
          <t>Mitigate</t>
        </is>
      </c>
      <c r="L4" s="2" t="inlineStr">
        <is>
          <t>2026-12-15</t>
        </is>
      </c>
      <c r="M4" s="2" t="n">
        <v>8</v>
      </c>
      <c r="N4" s="2" t="inlineStr">
        <is>
          <t>Harden endpoints and validate recovery procedures.</t>
        </is>
      </c>
    </row>
    <row r="5">
      <c r="A5" s="2" t="inlineStr">
        <is>
          <t>R-004</t>
        </is>
      </c>
      <c r="B5" s="2" t="inlineStr">
        <is>
          <t>Third-party security incident</t>
        </is>
      </c>
      <c r="C5" s="2" t="inlineStr">
        <is>
          <t>Third-Party</t>
        </is>
      </c>
      <c r="D5" s="2" t="inlineStr">
        <is>
          <t>Vendor Management</t>
        </is>
      </c>
      <c r="E5" s="2" t="inlineStr">
        <is>
          <t>GRC Manager</t>
        </is>
      </c>
      <c r="F5" s="2" t="n">
        <v>4</v>
      </c>
      <c r="G5" s="2" t="n">
        <v>4</v>
      </c>
      <c r="H5" s="2">
        <f>F5*G5</f>
        <v/>
      </c>
      <c r="I5" s="2">
        <f>IF(H5&gt;=20,"Critical",IF(H5&gt;=12,"High",IF(H5&gt;=6,"Medium","Low")))</f>
        <v/>
      </c>
      <c r="J5" s="2" t="inlineStr">
        <is>
          <t>Open</t>
        </is>
      </c>
      <c r="K5" s="2" t="inlineStr">
        <is>
          <t>Mitigate</t>
        </is>
      </c>
      <c r="L5" s="2" t="inlineStr">
        <is>
          <t>2026-11-30</t>
        </is>
      </c>
      <c r="M5" s="2" t="n">
        <v>9</v>
      </c>
      <c r="N5" s="2" t="inlineStr">
        <is>
          <t>Require security attestations and remediation tracking.</t>
        </is>
      </c>
    </row>
    <row r="6">
      <c r="A6" s="2" t="inlineStr">
        <is>
          <t>R-005</t>
        </is>
      </c>
      <c r="B6" s="2" t="inlineStr">
        <is>
          <t>Delayed incident detection</t>
        </is>
      </c>
      <c r="C6" s="2" t="inlineStr">
        <is>
          <t>Cybersecurity</t>
        </is>
      </c>
      <c r="D6" s="2" t="inlineStr">
        <is>
          <t>SOC</t>
        </is>
      </c>
      <c r="E6" s="2" t="inlineStr">
        <is>
          <t>SOC Manager</t>
        </is>
      </c>
      <c r="F6" s="2" t="n">
        <v>3</v>
      </c>
      <c r="G6" s="2" t="n">
        <v>5</v>
      </c>
      <c r="H6" s="2">
        <f>F6*G6</f>
        <v/>
      </c>
      <c r="I6" s="2">
        <f>IF(H6&gt;=20,"Critical",IF(H6&gt;=12,"High",IF(H6&gt;=6,"Medium","Low")))</f>
        <v/>
      </c>
      <c r="J6" s="2" t="inlineStr">
        <is>
          <t>In Progress</t>
        </is>
      </c>
      <c r="K6" s="2" t="inlineStr">
        <is>
          <t>Mitigate</t>
        </is>
      </c>
      <c r="L6" s="2" t="inlineStr">
        <is>
          <t>2026-10-31</t>
        </is>
      </c>
      <c r="M6" s="2" t="n">
        <v>8</v>
      </c>
      <c r="N6" s="2" t="inlineStr">
        <is>
          <t>Improve SIEM coverage and alert triage.</t>
        </is>
      </c>
    </row>
    <row r="7">
      <c r="A7" s="2" t="inlineStr">
        <is>
          <t>R-006</t>
        </is>
      </c>
      <c r="B7" s="2" t="inlineStr">
        <is>
          <t>Excessive user privileges</t>
        </is>
      </c>
      <c r="C7" s="2" t="inlineStr">
        <is>
          <t>IAM</t>
        </is>
      </c>
      <c r="D7" s="2" t="inlineStr">
        <is>
          <t>Technology</t>
        </is>
      </c>
      <c r="E7" s="2" t="inlineStr">
        <is>
          <t>IAM Manager</t>
        </is>
      </c>
      <c r="F7" s="2" t="n">
        <v>4</v>
      </c>
      <c r="G7" s="2" t="n">
        <v>4</v>
      </c>
      <c r="H7" s="2">
        <f>F7*G7</f>
        <v/>
      </c>
      <c r="I7" s="2">
        <f>IF(H7&gt;=20,"Critical",IF(H7&gt;=12,"High",IF(H7&gt;=6,"Medium","Low")))</f>
        <v/>
      </c>
      <c r="J7" s="2" t="inlineStr">
        <is>
          <t>Open</t>
        </is>
      </c>
      <c r="K7" s="2" t="inlineStr">
        <is>
          <t>Mitigate</t>
        </is>
      </c>
      <c r="L7" s="2" t="inlineStr">
        <is>
          <t>2026-11-10</t>
        </is>
      </c>
      <c r="M7" s="2" t="n">
        <v>8</v>
      </c>
      <c r="N7" s="2" t="inlineStr">
        <is>
          <t>Perform quarterly access recertification.</t>
        </is>
      </c>
    </row>
    <row r="8">
      <c r="A8" s="2" t="inlineStr">
        <is>
          <t>R-007</t>
        </is>
      </c>
      <c r="B8" s="2" t="inlineStr">
        <is>
          <t>Incomplete asset inventory</t>
        </is>
      </c>
      <c r="C8" s="2" t="inlineStr">
        <is>
          <t>Technology</t>
        </is>
      </c>
      <c r="D8" s="2" t="inlineStr">
        <is>
          <t>IT Operations</t>
        </is>
      </c>
      <c r="E8" s="2" t="inlineStr">
        <is>
          <t>IT Manager</t>
        </is>
      </c>
      <c r="F8" s="2" t="n">
        <v>3</v>
      </c>
      <c r="G8" s="2" t="n">
        <v>4</v>
      </c>
      <c r="H8" s="2">
        <f>F8*G8</f>
        <v/>
      </c>
      <c r="I8" s="2">
        <f>IF(H8&gt;=20,"Critical",IF(H8&gt;=12,"High",IF(H8&gt;=6,"Medium","Low")))</f>
        <v/>
      </c>
      <c r="J8" s="2" t="inlineStr">
        <is>
          <t>Open</t>
        </is>
      </c>
      <c r="K8" s="2" t="inlineStr">
        <is>
          <t>Mitigate</t>
        </is>
      </c>
      <c r="L8" s="2" t="inlineStr">
        <is>
          <t>2026-12-01</t>
        </is>
      </c>
      <c r="M8" s="2" t="n">
        <v>7</v>
      </c>
      <c r="N8" s="2" t="inlineStr">
        <is>
          <t>Establish authoritative asset inventory.</t>
        </is>
      </c>
    </row>
    <row r="9">
      <c r="A9" s="2" t="inlineStr">
        <is>
          <t>R-008</t>
        </is>
      </c>
      <c r="B9" s="2" t="inlineStr">
        <is>
          <t>Delayed regulatory reporting</t>
        </is>
      </c>
      <c r="C9" s="2" t="inlineStr">
        <is>
          <t>Compliance</t>
        </is>
      </c>
      <c r="D9" s="2" t="inlineStr">
        <is>
          <t>Legal/Compliance</t>
        </is>
      </c>
      <c r="E9" s="2" t="inlineStr">
        <is>
          <t>Compliance Officer</t>
        </is>
      </c>
      <c r="F9" s="2" t="n">
        <v>2</v>
      </c>
      <c r="G9" s="2" t="n">
        <v>4</v>
      </c>
      <c r="H9" s="2">
        <f>F9*G9</f>
        <v/>
      </c>
      <c r="I9" s="2">
        <f>IF(H9&gt;=20,"Critical",IF(H9&gt;=12,"High",IF(H9&gt;=6,"Medium","Low")))</f>
        <v/>
      </c>
      <c r="J9" s="2" t="inlineStr">
        <is>
          <t>In Progress</t>
        </is>
      </c>
      <c r="K9" s="2" t="inlineStr">
        <is>
          <t>Mitigate</t>
        </is>
      </c>
      <c r="L9" s="2" t="inlineStr">
        <is>
          <t>2027-01-15</t>
        </is>
      </c>
      <c r="M9" s="2" t="n">
        <v>5</v>
      </c>
      <c r="N9" s="2" t="inlineStr">
        <is>
          <t>Formalize regulatory reporting workflow.</t>
        </is>
      </c>
    </row>
    <row r="10">
      <c r="A10" s="2" t="inlineStr">
        <is>
          <t>R-009</t>
        </is>
      </c>
      <c r="B10" s="2" t="inlineStr">
        <is>
          <t>Security awareness gaps</t>
        </is>
      </c>
      <c r="C10" s="2" t="inlineStr">
        <is>
          <t>Human Risk</t>
        </is>
      </c>
      <c r="D10" s="2" t="inlineStr">
        <is>
          <t>Enterprise</t>
        </is>
      </c>
      <c r="E10" s="2" t="inlineStr">
        <is>
          <t>HR / Security</t>
        </is>
      </c>
      <c r="F10" s="2" t="n">
        <v>3</v>
      </c>
      <c r="G10" s="2" t="n">
        <v>3</v>
      </c>
      <c r="H10" s="2">
        <f>F10*G10</f>
        <v/>
      </c>
      <c r="I10" s="2">
        <f>IF(H10&gt;=20,"Critical",IF(H10&gt;=12,"High",IF(H10&gt;=6,"Medium","Low")))</f>
        <v/>
      </c>
      <c r="J10" s="2" t="inlineStr">
        <is>
          <t>In Progress</t>
        </is>
      </c>
      <c r="K10" s="2" t="inlineStr">
        <is>
          <t>Mitigate</t>
        </is>
      </c>
      <c r="L10" s="2" t="inlineStr">
        <is>
          <t>2026-11-30</t>
        </is>
      </c>
      <c r="M10" s="2" t="n">
        <v>5</v>
      </c>
      <c r="N10" s="2" t="inlineStr">
        <is>
          <t>Refresh phishing and security awareness training.</t>
        </is>
      </c>
    </row>
    <row r="11">
      <c r="A11" s="2" t="inlineStr">
        <is>
          <t>R-010</t>
        </is>
      </c>
      <c r="B11" s="2" t="inlineStr">
        <is>
          <t>Backup recovery failure</t>
        </is>
      </c>
      <c r="C11" s="2" t="inlineStr">
        <is>
          <t>Resilience</t>
        </is>
      </c>
      <c r="D11" s="2" t="inlineStr">
        <is>
          <t>IT Operations</t>
        </is>
      </c>
      <c r="E11" s="2" t="inlineStr">
        <is>
          <t>Infrastructure Manager</t>
        </is>
      </c>
      <c r="F11" s="2" t="n">
        <v>2</v>
      </c>
      <c r="G11" s="2" t="n">
        <v>5</v>
      </c>
      <c r="H11" s="2">
        <f>F11*G11</f>
        <v/>
      </c>
      <c r="I11" s="2">
        <f>IF(H11&gt;=20,"Critical",IF(H11&gt;=12,"High",IF(H11&gt;=6,"Medium","Low")))</f>
        <v/>
      </c>
      <c r="J11" s="2" t="inlineStr">
        <is>
          <t>Open</t>
        </is>
      </c>
      <c r="K11" s="2" t="inlineStr">
        <is>
          <t>Mitigate</t>
        </is>
      </c>
      <c r="L11" s="2" t="inlineStr">
        <is>
          <t>2026-12-20</t>
        </is>
      </c>
      <c r="M11" s="2" t="n">
        <v>6</v>
      </c>
      <c r="N11" s="2" t="inlineStr">
        <is>
          <t>Test backups and document recovery evidence.</t>
        </is>
      </c>
    </row>
  </sheetData>
  <autoFilter ref="A1:N11"/>
  <conditionalFormatting sqref="H2:H1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dataValidations count="2">
    <dataValidation sqref="J2:J11" showDropDown="0" showInputMessage="0" showErrorMessage="0" allowBlank="0" type="list">
      <formula1>"Open,In Progress,Mitigated,Accepted,Closed"</formula1>
    </dataValidation>
    <dataValidation sqref="K2:K11" showDropDown="0" showInputMessage="0" showErrorMessage="0" allowBlank="0" type="list">
      <formula1>"Mitigate,Accept,Transfer,Avoid"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3" t="inlineStr">
        <is>
          <t>GRC Risk Dashboard</t>
        </is>
      </c>
    </row>
    <row r="2">
      <c r="A2" s="4" t="inlineStr">
        <is>
          <t>Maple Financial Services — Simulated Portfolio Dashboard</t>
        </is>
      </c>
    </row>
    <row r="4">
      <c r="A4" s="5" t="inlineStr">
        <is>
          <t>Total Risks</t>
        </is>
      </c>
      <c r="C4" s="5" t="inlineStr">
        <is>
          <t>Critical Risks</t>
        </is>
      </c>
      <c r="E4" s="5" t="inlineStr">
        <is>
          <t>High Risks</t>
        </is>
      </c>
      <c r="G4" s="5" t="inlineStr">
        <is>
          <t>Open Risks</t>
        </is>
      </c>
    </row>
    <row r="5">
      <c r="A5" s="6">
        <f>COUNTA('Risk Register'!A2:A11)</f>
        <v/>
      </c>
      <c r="C5" s="6">
        <f>COUNTIF('Risk Register'!I2:I11,"Critical")</f>
        <v/>
      </c>
      <c r="E5" s="6">
        <f>COUNTIF('Risk Register'!I2:I11,"High")</f>
        <v/>
      </c>
      <c r="G5" s="6">
        <f>COUNTIF('Risk Register'!J2:J11,"Open")</f>
        <v/>
      </c>
    </row>
    <row r="7">
      <c r="A7" s="7" t="inlineStr">
        <is>
          <t>Risk Rating</t>
        </is>
      </c>
    </row>
    <row r="8">
      <c r="A8" t="inlineStr">
        <is>
          <t>Rating</t>
        </is>
      </c>
      <c r="B8" t="inlineStr">
        <is>
          <t>Count</t>
        </is>
      </c>
    </row>
    <row r="9">
      <c r="A9" s="8" t="inlineStr">
        <is>
          <t>Critical</t>
        </is>
      </c>
      <c r="B9">
        <f>COUNTIF('Risk Register'!I2:I11,A9)</f>
        <v/>
      </c>
    </row>
    <row r="10">
      <c r="A10" s="8" t="inlineStr">
        <is>
          <t>High</t>
        </is>
      </c>
      <c r="B10">
        <f>COUNTIF('Risk Register'!I2:I11,A10)</f>
        <v/>
      </c>
    </row>
    <row r="11">
      <c r="A11" s="8" t="inlineStr">
        <is>
          <t>Medium</t>
        </is>
      </c>
      <c r="B11">
        <f>COUNTIF('Risk Register'!I2:I11,A11)</f>
        <v/>
      </c>
    </row>
    <row r="12">
      <c r="A12" s="8" t="inlineStr">
        <is>
          <t>Low</t>
        </is>
      </c>
      <c r="B12">
        <f>COUNTIF('Risk Register'!I2:I11,A12)</f>
        <v/>
      </c>
    </row>
    <row r="15">
      <c r="A15" s="7" t="inlineStr">
        <is>
          <t>Risk Status</t>
        </is>
      </c>
    </row>
    <row r="16">
      <c r="A16" t="inlineStr">
        <is>
          <t>Status</t>
        </is>
      </c>
      <c r="B16" t="inlineStr">
        <is>
          <t>Count</t>
        </is>
      </c>
    </row>
    <row r="17">
      <c r="A17" t="inlineStr">
        <is>
          <t>Open</t>
        </is>
      </c>
      <c r="B17">
        <f>COUNTIF('Risk Register'!J2:J11,A17)</f>
        <v/>
      </c>
    </row>
    <row r="18">
      <c r="A18" t="inlineStr">
        <is>
          <t>In Progress</t>
        </is>
      </c>
      <c r="B18">
        <f>COUNTIF('Risk Register'!J2:J11,A18)</f>
        <v/>
      </c>
    </row>
    <row r="19">
      <c r="A19" t="inlineStr">
        <is>
          <t>Mitigated</t>
        </is>
      </c>
      <c r="B19">
        <f>COUNTIF('Risk Register'!J2:J11,A19)</f>
        <v/>
      </c>
    </row>
    <row r="20">
      <c r="A20" t="inlineStr">
        <is>
          <t>Accepted</t>
        </is>
      </c>
      <c r="B20">
        <f>COUNTIF('Risk Register'!J2:J11,A20)</f>
        <v/>
      </c>
    </row>
    <row r="21">
      <c r="A21" t="inlineStr">
        <is>
          <t>Closed</t>
        </is>
      </c>
      <c r="B21">
        <f>COUNTIF('Risk Register'!J2:J11,A21)</f>
        <v/>
      </c>
    </row>
    <row r="24">
      <c r="A24" s="7" t="inlineStr">
        <is>
          <t>Management Focus</t>
        </is>
      </c>
    </row>
    <row r="25">
      <c r="A25" s="9" t="inlineStr">
        <is>
          <t>• Prioritize remediation of critical IAM, data exposure, and ransomware risks.</t>
        </is>
      </c>
    </row>
    <row r="26">
      <c r="A26" s="9" t="inlineStr">
        <is>
          <t>• Track high-risk third-party and privileged-access issues to closure.</t>
        </is>
      </c>
    </row>
    <row r="27">
      <c r="A27" s="9" t="inlineStr">
        <is>
          <t>• Use residual risk to determine whether remediation has reduced exposure.</t>
        </is>
      </c>
    </row>
    <row r="28">
      <c r="A28" s="9" t="inlineStr">
        <is>
          <t>• Review overdue actions and risk acceptance decisions at governance meetings.</t>
        </is>
      </c>
    </row>
  </sheetData>
  <mergeCells count="14">
    <mergeCell ref="A4:B4"/>
    <mergeCell ref="G4:H4"/>
    <mergeCell ref="E4:F4"/>
    <mergeCell ref="A26:H26"/>
    <mergeCell ref="A25:H25"/>
    <mergeCell ref="A2:H2"/>
    <mergeCell ref="C5:D5"/>
    <mergeCell ref="A5:B5"/>
    <mergeCell ref="G5:H5"/>
    <mergeCell ref="E5:F5"/>
    <mergeCell ref="A28:H28"/>
    <mergeCell ref="A1:H1"/>
    <mergeCell ref="A27:H27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0" t="inlineStr">
        <is>
          <t>Step</t>
        </is>
      </c>
      <c r="B1" s="10" t="inlineStr">
        <is>
          <t>Description</t>
        </is>
      </c>
    </row>
    <row r="2">
      <c r="A2" s="11" t="inlineStr">
        <is>
          <t>1. Identify</t>
        </is>
      </c>
      <c r="B2" s="11" t="inlineStr">
        <is>
          <t>Document the risk, affected business area, and accountable owner.</t>
        </is>
      </c>
    </row>
    <row r="3">
      <c r="A3" s="11" t="inlineStr">
        <is>
          <t>2. Assess</t>
        </is>
      </c>
      <c r="B3" s="11" t="inlineStr">
        <is>
          <t>Score likelihood and impact on a 1–5 portfolio scale.</t>
        </is>
      </c>
    </row>
    <row r="4">
      <c r="A4" s="11" t="inlineStr">
        <is>
          <t>3. Prioritize</t>
        </is>
      </c>
      <c r="B4" s="11" t="inlineStr">
        <is>
          <t>Calculate inherent risk score as likelihood × impact and assign a rating.</t>
        </is>
      </c>
    </row>
    <row r="5">
      <c r="A5" s="11" t="inlineStr">
        <is>
          <t>4. Treat</t>
        </is>
      </c>
      <c r="B5" s="11" t="inlineStr">
        <is>
          <t>Select mitigation, acceptance, transfer, or avoidance.</t>
        </is>
      </c>
    </row>
    <row r="6">
      <c r="A6" s="11" t="inlineStr">
        <is>
          <t>5. Track</t>
        </is>
      </c>
      <c r="B6" s="11" t="inlineStr">
        <is>
          <t>Monitor status, due dates, owners, and residual risk.</t>
        </is>
      </c>
    </row>
    <row r="7">
      <c r="A7" s="11" t="inlineStr">
        <is>
          <t>6. Report</t>
        </is>
      </c>
      <c r="B7" s="11" t="inlineStr">
        <is>
          <t>Summarize material risks and remediation progress for management.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0" t="inlineStr">
        <is>
          <t>Field</t>
        </is>
      </c>
      <c r="B1" s="10" t="inlineStr">
        <is>
          <t>Value</t>
        </is>
      </c>
    </row>
    <row r="2">
      <c r="A2" s="11" t="inlineStr">
        <is>
          <t>Organization</t>
        </is>
      </c>
      <c r="B2" s="11" t="inlineStr">
        <is>
          <t>Maple Financial Services (fictional)</t>
        </is>
      </c>
    </row>
    <row r="3">
      <c r="A3" s="11" t="inlineStr">
        <is>
          <t>Industry</t>
        </is>
      </c>
      <c r="B3" s="11" t="inlineStr">
        <is>
          <t>Financial Services</t>
        </is>
      </c>
    </row>
    <row r="4">
      <c r="A4" s="11" t="inlineStr">
        <is>
          <t>Employees</t>
        </is>
      </c>
      <c r="B4" s="11" t="inlineStr">
        <is>
          <t>500</t>
        </is>
      </c>
    </row>
    <row r="5">
      <c r="A5" s="11" t="inlineStr">
        <is>
          <t>Project Type</t>
        </is>
      </c>
      <c r="B5" s="11" t="inlineStr">
        <is>
          <t>Simulated enterprise GRC risk dashboard</t>
        </is>
      </c>
    </row>
    <row r="6">
      <c r="A6" s="11" t="inlineStr">
        <is>
          <t>Scope</t>
        </is>
      </c>
      <c r="B6" s="11" t="inlineStr">
        <is>
          <t>Cybersecurity, technology, data privacy, IAM, third-party, resilience, compliance, and human risk</t>
        </is>
      </c>
    </row>
    <row r="7">
      <c r="A7" s="11" t="inlineStr">
        <is>
          <t>Out of Scope</t>
        </is>
      </c>
      <c r="B7" s="11" t="inlineStr">
        <is>
          <t>Real organizational data, real customer information, production systems</t>
        </is>
      </c>
    </row>
    <row r="8">
      <c r="A8" s="11" t="inlineStr">
        <is>
          <t>Risk Scoring</t>
        </is>
      </c>
      <c r="B8" s="11" t="inlineStr">
        <is>
          <t>Likelihood (1–5) × Impact (1–5); scoring model is a portfolio methodology and is not prescribed by a specific framework.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</cols>
  <sheetData>
    <row r="1">
      <c r="A1" s="10" t="inlineStr">
        <is>
          <t>Reference</t>
        </is>
      </c>
      <c r="B1" s="10" t="inlineStr">
        <is>
          <t>Purpose</t>
        </is>
      </c>
    </row>
    <row r="2">
      <c r="A2" s="11" t="inlineStr">
        <is>
          <t>Portfolio methodology</t>
        </is>
      </c>
      <c r="B2" s="11" t="inlineStr">
        <is>
          <t>Risk scoring, status, and dashboard metrics are simulated for demonstration.</t>
        </is>
      </c>
    </row>
    <row r="3">
      <c r="A3" s="11" t="inlineStr">
        <is>
          <t>NIST Cybersecurity Framework 2.0</t>
        </is>
      </c>
      <c r="B3" s="11" t="inlineStr">
        <is>
          <t>General cybersecurity risk-management context.</t>
        </is>
      </c>
    </row>
    <row r="4">
      <c r="A4" s="11" t="inlineStr">
        <is>
          <t>ISO/IEC 27001:2022</t>
        </is>
      </c>
      <c r="B4" s="11" t="inlineStr">
        <is>
          <t>Information-security management context.</t>
        </is>
      </c>
    </row>
    <row r="5">
      <c r="A5" s="11" t="inlineStr">
        <is>
          <t>Note</t>
        </is>
      </c>
      <c r="B5" s="11" t="inlineStr">
        <is>
          <t>This dashboard does not represent a certification audit or real organization.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2026-09-24T22:45:05Z</dcterms:created>
  <dcterms:modified xmlns:dcterms="http://purl.org/dc/terms/" xmlns:xsi="http://www.w3.org/2001/XMLSchema-instance" xsi:type="dcterms:W3CDTF">2026-09-24T22:45:05Z</dcterms:modified>
</cp:coreProperties>
</file>
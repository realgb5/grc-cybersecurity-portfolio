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ISO 27001 Gap Assessment" sheetId="2" state="visible" r:id="rId2"/>
    <sheet xmlns:r="http://schemas.openxmlformats.org/officeDocument/2006/relationships" name="Risk Register" sheetId="3" state="visible" r:id="rId3"/>
    <sheet xmlns:r="http://schemas.openxmlformats.org/officeDocument/2006/relationships" name="SoA Summary" sheetId="4" state="visible" r:id="rId4"/>
    <sheet xmlns:r="http://schemas.openxmlformats.org/officeDocument/2006/relationships" name="Remediation Plan" sheetId="5" state="visible" r:id="rId5"/>
    <sheet xmlns:r="http://schemas.openxmlformats.org/officeDocument/2006/relationships" name="Scope &amp; Methodology" sheetId="6" state="visible" r:id="rId6"/>
    <sheet xmlns:r="http://schemas.openxmlformats.org/officeDocument/2006/relationships" name="References" sheetId="7" state="visible" r:id="rId7"/>
  </sheets>
  <definedNames>
    <definedName name="_xlnm._FilterDatabase" localSheetId="1" hidden="1">'ISO 27001 Gap Assessment'!$A$1:$L$21</definedName>
    <definedName name="_xlnm._FilterDatabase" localSheetId="2" hidden="1">'Risk Register'!$A$1:$I$7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75" customWidth="1" min="4" max="4"/>
  </cols>
  <sheetData>
    <row r="1">
      <c r="A1" s="1" t="inlineStr">
        <is>
          <t>ISO/IEC 27001:2022 Gap Assessment</t>
        </is>
      </c>
    </row>
    <row r="3">
      <c r="A3" s="2" t="inlineStr">
        <is>
          <t>Assessment Items</t>
        </is>
      </c>
      <c r="B3" s="3">
        <f>COUNTA('ISO 27001 Gap Assessment'!B2:B21)</f>
        <v/>
      </c>
      <c r="D3" s="4" t="inlineStr">
        <is>
          <t>Portfolio Note</t>
        </is>
      </c>
    </row>
    <row r="4">
      <c r="A4" s="2" t="inlineStr">
        <is>
          <t>Gaps Identified</t>
        </is>
      </c>
      <c r="B4" s="3">
        <f>COUNTIF('ISO 27001 Gap Assessment'!H2:H21,"Yes")</f>
        <v/>
      </c>
      <c r="D4" s="5" t="inlineStr">
        <is>
          <t>Selected clauses and representative Annex A controls are assessed. This is not a certification audit.</t>
        </is>
      </c>
    </row>
    <row r="5">
      <c r="A5" s="2" t="inlineStr">
        <is>
          <t>Critical Priorities</t>
        </is>
      </c>
      <c r="B5" s="3">
        <f>COUNTIF('ISO 27001 Gap Assessment'!I2:I21,"Critical")</f>
        <v/>
      </c>
    </row>
    <row r="6">
      <c r="A6" s="2" t="inlineStr">
        <is>
          <t>High Priorities</t>
        </is>
      </c>
      <c r="B6" s="3">
        <f>COUNTIF('ISO 27001 Gap Assessment'!I2:I21,"High")</f>
        <v/>
      </c>
    </row>
  </sheetData>
  <mergeCells count="1">
    <mergeCell ref="A1:F1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48" customWidth="1" min="4" max="4"/>
    <col width="16" customWidth="1" min="5" max="5"/>
    <col width="22" customWidth="1" min="6" max="6"/>
    <col width="20" customWidth="1" min="7" max="7"/>
    <col width="10" customWidth="1" min="8" max="8"/>
    <col width="12" customWidth="1" min="9" max="9"/>
    <col width="45" customWidth="1" min="10" max="10"/>
    <col width="50" customWidth="1" min="11" max="11"/>
    <col width="24" customWidth="1" min="12" max="12"/>
  </cols>
  <sheetData>
    <row r="1">
      <c r="A1" s="6" t="inlineStr">
        <is>
          <t>Area</t>
        </is>
      </c>
      <c r="B1" s="6" t="inlineStr">
        <is>
          <t>Reference</t>
        </is>
      </c>
      <c r="C1" s="6" t="inlineStr">
        <is>
          <t>Requirement / Control Focus</t>
        </is>
      </c>
      <c r="D1" s="6" t="inlineStr">
        <is>
          <t>Assessment Question</t>
        </is>
      </c>
      <c r="E1" s="6" t="inlineStr">
        <is>
          <t>Applicability</t>
        </is>
      </c>
      <c r="F1" s="6" t="inlineStr">
        <is>
          <t>Current State</t>
        </is>
      </c>
      <c r="G1" s="6" t="inlineStr">
        <is>
          <t>Target State</t>
        </is>
      </c>
      <c r="H1" s="6" t="inlineStr">
        <is>
          <t>Gap?</t>
        </is>
      </c>
      <c r="I1" s="6" t="inlineStr">
        <is>
          <t>Priority</t>
        </is>
      </c>
      <c r="J1" s="6" t="inlineStr">
        <is>
          <t>Evidence / Rationale</t>
        </is>
      </c>
      <c r="K1" s="6" t="inlineStr">
        <is>
          <t>Recommendation</t>
        </is>
      </c>
      <c r="L1" s="6" t="inlineStr">
        <is>
          <t>Owner</t>
        </is>
      </c>
    </row>
    <row r="2">
      <c r="A2" s="5" t="inlineStr">
        <is>
          <t>ISMS Context</t>
        </is>
      </c>
      <c r="B2" s="5" t="inlineStr">
        <is>
          <t>Clause 4.1</t>
        </is>
      </c>
      <c r="C2" s="5" t="inlineStr">
        <is>
          <t>Organization and its context</t>
        </is>
      </c>
      <c r="D2" s="5" t="inlineStr">
        <is>
          <t>Are internal and external issues relevant to the ISMS identified?</t>
        </is>
      </c>
      <c r="E2" s="5" t="inlineStr">
        <is>
          <t>Applicable</t>
        </is>
      </c>
      <c r="F2" s="5" t="inlineStr">
        <is>
          <t>Partially Implemented</t>
        </is>
      </c>
      <c r="G2" s="5" t="inlineStr">
        <is>
          <t>Fully Implemented</t>
        </is>
      </c>
      <c r="H2" s="5" t="inlineStr">
        <is>
          <t>Yes</t>
        </is>
      </c>
      <c r="I2" s="5" t="inlineStr">
        <is>
          <t>High</t>
        </is>
      </c>
      <c r="J2" s="5" t="inlineStr">
        <is>
          <t>ISMS context is not formally maintained.</t>
        </is>
      </c>
      <c r="K2" s="5" t="inlineStr">
        <is>
          <t>Create and periodically review an ISMS context register.</t>
        </is>
      </c>
      <c r="L2" s="5" t="inlineStr">
        <is>
          <t>GRC</t>
        </is>
      </c>
    </row>
    <row r="3">
      <c r="A3" s="5" t="inlineStr">
        <is>
          <t>ISMS Context</t>
        </is>
      </c>
      <c r="B3" s="5" t="inlineStr">
        <is>
          <t>Clause 4.2</t>
        </is>
      </c>
      <c r="C3" s="5" t="inlineStr">
        <is>
          <t>Interested parties</t>
        </is>
      </c>
      <c r="D3" s="5" t="inlineStr">
        <is>
          <t>Are relevant interested parties and security requirements identified?</t>
        </is>
      </c>
      <c r="E3" s="5" t="inlineStr">
        <is>
          <t>Applicable</t>
        </is>
      </c>
      <c r="F3" s="5" t="inlineStr">
        <is>
          <t>Partially Implemented</t>
        </is>
      </c>
      <c r="G3" s="5" t="inlineStr">
        <is>
          <t>Fully Implemented</t>
        </is>
      </c>
      <c r="H3" s="5" t="inlineStr">
        <is>
          <t>Yes</t>
        </is>
      </c>
      <c r="I3" s="5" t="inlineStr">
        <is>
          <t>High</t>
        </is>
      </c>
      <c r="J3" s="5" t="inlineStr">
        <is>
          <t>Requirements are identified inconsistently.</t>
        </is>
      </c>
      <c r="K3" s="5" t="inlineStr">
        <is>
          <t>Maintain an interested-party and requirements register.</t>
        </is>
      </c>
      <c r="L3" s="5" t="inlineStr">
        <is>
          <t>GRC / Legal</t>
        </is>
      </c>
    </row>
    <row r="4">
      <c r="A4" s="5" t="inlineStr">
        <is>
          <t>ISMS Scope</t>
        </is>
      </c>
      <c r="B4" s="5" t="inlineStr">
        <is>
          <t>Clause 4.3</t>
        </is>
      </c>
      <c r="C4" s="5" t="inlineStr">
        <is>
          <t>ISMS scope</t>
        </is>
      </c>
      <c r="D4" s="5" t="inlineStr">
        <is>
          <t>Is the ISMS scope documented, approved and communicated?</t>
        </is>
      </c>
      <c r="E4" s="5" t="inlineStr">
        <is>
          <t>Applicable</t>
        </is>
      </c>
      <c r="F4" s="5" t="inlineStr">
        <is>
          <t>Partially Implemented</t>
        </is>
      </c>
      <c r="G4" s="5" t="inlineStr">
        <is>
          <t>Fully Implemented</t>
        </is>
      </c>
      <c r="H4" s="5" t="inlineStr">
        <is>
          <t>Yes</t>
        </is>
      </c>
      <c r="I4" s="5" t="inlineStr">
        <is>
          <t>High</t>
        </is>
      </c>
      <c r="J4" s="5" t="inlineStr">
        <is>
          <t>Scope exclusions and interfaces need documentation.</t>
        </is>
      </c>
      <c r="K4" s="5" t="inlineStr">
        <is>
          <t>Approve a formal ISMS scope statement.</t>
        </is>
      </c>
      <c r="L4" s="5" t="inlineStr">
        <is>
          <t>CISO / GRC</t>
        </is>
      </c>
    </row>
    <row r="5">
      <c r="A5" s="5" t="inlineStr">
        <is>
          <t>Leadership</t>
        </is>
      </c>
      <c r="B5" s="5" t="inlineStr">
        <is>
          <t>Clause 5.1</t>
        </is>
      </c>
      <c r="C5" s="5" t="inlineStr">
        <is>
          <t>Leadership and commitment</t>
        </is>
      </c>
      <c r="D5" s="5" t="inlineStr">
        <is>
          <t>Has leadership demonstrated accountability and support for the ISMS?</t>
        </is>
      </c>
      <c r="E5" s="5" t="inlineStr">
        <is>
          <t>Applicable</t>
        </is>
      </c>
      <c r="F5" s="5" t="inlineStr">
        <is>
          <t>Partially Implemented</t>
        </is>
      </c>
      <c r="G5" s="5" t="inlineStr">
        <is>
          <t>Fully Implemented</t>
        </is>
      </c>
      <c r="H5" s="5" t="inlineStr">
        <is>
          <t>Yes</t>
        </is>
      </c>
      <c r="I5" s="5" t="inlineStr">
        <is>
          <t>High</t>
        </is>
      </c>
      <c r="J5" s="5" t="inlineStr">
        <is>
          <t>Formal management accountability needs strengthening.</t>
        </is>
      </c>
      <c r="K5" s="5" t="inlineStr">
        <is>
          <t>Define executive accountability, resources and review cadence.</t>
        </is>
      </c>
      <c r="L5" s="5" t="inlineStr">
        <is>
          <t>CISO</t>
        </is>
      </c>
    </row>
    <row r="6">
      <c r="A6" s="5" t="inlineStr">
        <is>
          <t>Risk Management</t>
        </is>
      </c>
      <c r="B6" s="5" t="inlineStr">
        <is>
          <t>Clause 6.1.2</t>
        </is>
      </c>
      <c r="C6" s="5" t="inlineStr">
        <is>
          <t>Information security risk assessment</t>
        </is>
      </c>
      <c r="D6" s="5" t="inlineStr">
        <is>
          <t>Is there a repeatable process for identifying and evaluating information-security risks?</t>
        </is>
      </c>
      <c r="E6" s="5" t="inlineStr">
        <is>
          <t>Applicable</t>
        </is>
      </c>
      <c r="F6" s="5" t="inlineStr">
        <is>
          <t>Partially Implemented</t>
        </is>
      </c>
      <c r="G6" s="5" t="inlineStr">
        <is>
          <t>Fully Implemented</t>
        </is>
      </c>
      <c r="H6" s="5" t="inlineStr">
        <is>
          <t>Yes</t>
        </is>
      </c>
      <c r="I6" s="5" t="inlineStr">
        <is>
          <t>Critical</t>
        </is>
      </c>
      <c r="J6" s="5" t="inlineStr">
        <is>
          <t>Risk assessments are not consistently applied across the ISMS scope.</t>
        </is>
      </c>
      <c r="K6" s="5" t="inlineStr">
        <is>
          <t>Establish a documented risk assessment methodology.</t>
        </is>
      </c>
      <c r="L6" s="5" t="inlineStr">
        <is>
          <t>GRC</t>
        </is>
      </c>
    </row>
    <row r="7">
      <c r="A7" s="5" t="inlineStr">
        <is>
          <t>Risk Treatment</t>
        </is>
      </c>
      <c r="B7" s="5" t="inlineStr">
        <is>
          <t>Clause 6.1.3</t>
        </is>
      </c>
      <c r="C7" s="5" t="inlineStr">
        <is>
          <t>Information security risk treatment</t>
        </is>
      </c>
      <c r="D7" s="5" t="inlineStr">
        <is>
          <t>Are treatment options, owners and plans documented and approved?</t>
        </is>
      </c>
      <c r="E7" s="5" t="inlineStr">
        <is>
          <t>Applicable</t>
        </is>
      </c>
      <c r="F7" s="5" t="inlineStr">
        <is>
          <t>Partially Implemented</t>
        </is>
      </c>
      <c r="G7" s="5" t="inlineStr">
        <is>
          <t>Fully Implemented</t>
        </is>
      </c>
      <c r="H7" s="5" t="inlineStr">
        <is>
          <t>Yes</t>
        </is>
      </c>
      <c r="I7" s="5" t="inlineStr">
        <is>
          <t>Critical</t>
        </is>
      </c>
      <c r="J7" s="5" t="inlineStr">
        <is>
          <t>Treatment decisions are tracked informally.</t>
        </is>
      </c>
      <c r="K7" s="5" t="inlineStr">
        <is>
          <t>Create a formal risk treatment plan and acceptance process.</t>
        </is>
      </c>
      <c r="L7" s="5" t="inlineStr">
        <is>
          <t>GRC / Risk Owners</t>
        </is>
      </c>
    </row>
    <row r="8">
      <c r="A8" s="5" t="inlineStr">
        <is>
          <t>Objectives</t>
        </is>
      </c>
      <c r="B8" s="5" t="inlineStr">
        <is>
          <t>Clause 6.2</t>
        </is>
      </c>
      <c r="C8" s="5" t="inlineStr">
        <is>
          <t>Information security objectives</t>
        </is>
      </c>
      <c r="D8" s="5" t="inlineStr">
        <is>
          <t>Are measurable security objectives established and monitored?</t>
        </is>
      </c>
      <c r="E8" s="5" t="inlineStr">
        <is>
          <t>Applicable</t>
        </is>
      </c>
      <c r="F8" s="5" t="inlineStr">
        <is>
          <t>Partially Implemented</t>
        </is>
      </c>
      <c r="G8" s="5" t="inlineStr">
        <is>
          <t>Fully Implemented</t>
        </is>
      </c>
      <c r="H8" s="5" t="inlineStr">
        <is>
          <t>Yes</t>
        </is>
      </c>
      <c r="I8" s="5" t="inlineStr">
        <is>
          <t>Medium</t>
        </is>
      </c>
      <c r="J8" s="5" t="inlineStr">
        <is>
          <t>Metrics are not consistently tied to the ISMS.</t>
        </is>
      </c>
      <c r="K8" s="5" t="inlineStr">
        <is>
          <t>Define measurable objectives, owners and targets.</t>
        </is>
      </c>
      <c r="L8" s="5" t="inlineStr">
        <is>
          <t>CISO / GRC</t>
        </is>
      </c>
    </row>
    <row r="9">
      <c r="A9" s="5" t="inlineStr">
        <is>
          <t>Documented Information</t>
        </is>
      </c>
      <c r="B9" s="5" t="inlineStr">
        <is>
          <t>Clause 7.5</t>
        </is>
      </c>
      <c r="C9" s="5" t="inlineStr">
        <is>
          <t>Documented information</t>
        </is>
      </c>
      <c r="D9" s="5" t="inlineStr">
        <is>
          <t>Are ISMS documents controlled for approval, versioning, retention and change?</t>
        </is>
      </c>
      <c r="E9" s="5" t="inlineStr">
        <is>
          <t>Applicable</t>
        </is>
      </c>
      <c r="F9" s="5" t="inlineStr">
        <is>
          <t>Partially Implemented</t>
        </is>
      </c>
      <c r="G9" s="5" t="inlineStr">
        <is>
          <t>Fully Implemented</t>
        </is>
      </c>
      <c r="H9" s="5" t="inlineStr">
        <is>
          <t>Yes</t>
        </is>
      </c>
      <c r="I9" s="5" t="inlineStr">
        <is>
          <t>High</t>
        </is>
      </c>
      <c r="J9" s="5" t="inlineStr">
        <is>
          <t>Review dates and ownership are inconsistent.</t>
        </is>
      </c>
      <c r="K9" s="5" t="inlineStr">
        <is>
          <t>Implement a documented-information register.</t>
        </is>
      </c>
      <c r="L9" s="5" t="inlineStr">
        <is>
          <t>GRC</t>
        </is>
      </c>
    </row>
    <row r="10">
      <c r="A10" s="5" t="inlineStr">
        <is>
          <t>Performance</t>
        </is>
      </c>
      <c r="B10" s="5" t="inlineStr">
        <is>
          <t>Clause 9.1</t>
        </is>
      </c>
      <c r="C10" s="5" t="inlineStr">
        <is>
          <t>Monitoring and measurement</t>
        </is>
      </c>
      <c r="D10" s="5" t="inlineStr">
        <is>
          <t>Does the organization monitor and evaluate ISMS performance?</t>
        </is>
      </c>
      <c r="E10" s="5" t="inlineStr">
        <is>
          <t>Applicable</t>
        </is>
      </c>
      <c r="F10" s="5" t="inlineStr">
        <is>
          <t>Partially Implemented</t>
        </is>
      </c>
      <c r="G10" s="5" t="inlineStr">
        <is>
          <t>Fully Implemented</t>
        </is>
      </c>
      <c r="H10" s="5" t="inlineStr">
        <is>
          <t>Yes</t>
        </is>
      </c>
      <c r="I10" s="5" t="inlineStr">
        <is>
          <t>Medium</t>
        </is>
      </c>
      <c r="J10" s="5" t="inlineStr">
        <is>
          <t>Security metrics are not consolidated into an ISMS view.</t>
        </is>
      </c>
      <c r="K10" s="5" t="inlineStr">
        <is>
          <t>Create an ISMS performance dashboard.</t>
        </is>
      </c>
      <c r="L10" s="5" t="inlineStr">
        <is>
          <t>GRC / Security</t>
        </is>
      </c>
    </row>
    <row r="11">
      <c r="A11" s="5" t="inlineStr">
        <is>
          <t>Management Review</t>
        </is>
      </c>
      <c r="B11" s="5" t="inlineStr">
        <is>
          <t>Clause 9.3</t>
        </is>
      </c>
      <c r="C11" s="5" t="inlineStr">
        <is>
          <t>Management review</t>
        </is>
      </c>
      <c r="D11" s="5" t="inlineStr">
        <is>
          <t>Does management periodically review ISMS suitability and effectiveness?</t>
        </is>
      </c>
      <c r="E11" s="5" t="inlineStr">
        <is>
          <t>Applicable</t>
        </is>
      </c>
      <c r="F11" s="5" t="inlineStr">
        <is>
          <t>Partially Implemented</t>
        </is>
      </c>
      <c r="G11" s="5" t="inlineStr">
        <is>
          <t>Fully Implemented</t>
        </is>
      </c>
      <c r="H11" s="5" t="inlineStr">
        <is>
          <t>Yes</t>
        </is>
      </c>
      <c r="I11" s="5" t="inlineStr">
        <is>
          <t>High</t>
        </is>
      </c>
      <c r="J11" s="5" t="inlineStr">
        <is>
          <t>Formal review records are incomplete.</t>
        </is>
      </c>
      <c r="K11" s="5" t="inlineStr">
        <is>
          <t>Establish a documented management-review process.</t>
        </is>
      </c>
      <c r="L11" s="5" t="inlineStr">
        <is>
          <t>CISO / Executive</t>
        </is>
      </c>
    </row>
    <row r="12">
      <c r="A12" s="5" t="inlineStr">
        <is>
          <t>Internal Audit</t>
        </is>
      </c>
      <c r="B12" s="5" t="inlineStr">
        <is>
          <t>Clause 9.2</t>
        </is>
      </c>
      <c r="C12" s="5" t="inlineStr">
        <is>
          <t>Internal audit</t>
        </is>
      </c>
      <c r="D12" s="5" t="inlineStr">
        <is>
          <t>Is the ISMS audited at planned intervals?</t>
        </is>
      </c>
      <c r="E12" s="5" t="inlineStr">
        <is>
          <t>Applicable</t>
        </is>
      </c>
      <c r="F12" s="5" t="inlineStr">
        <is>
          <t>Not Implemented</t>
        </is>
      </c>
      <c r="G12" s="5" t="inlineStr">
        <is>
          <t>Fully Implemented</t>
        </is>
      </c>
      <c r="H12" s="5" t="inlineStr">
        <is>
          <t>Yes</t>
        </is>
      </c>
      <c r="I12" s="5" t="inlineStr">
        <is>
          <t>High</t>
        </is>
      </c>
      <c r="J12" s="5" t="inlineStr">
        <is>
          <t>No formal ISMS internal-audit program is assumed.</t>
        </is>
      </c>
      <c r="K12" s="5" t="inlineStr">
        <is>
          <t>Create an annual ISMS internal-audit plan.</t>
        </is>
      </c>
      <c r="L12" s="5" t="inlineStr">
        <is>
          <t>Internal Audit / GRC</t>
        </is>
      </c>
    </row>
    <row r="13">
      <c r="A13" s="5" t="inlineStr">
        <is>
          <t>Continual Improvement</t>
        </is>
      </c>
      <c r="B13" s="5" t="inlineStr">
        <is>
          <t>Clause 10.1</t>
        </is>
      </c>
      <c r="C13" s="5" t="inlineStr">
        <is>
          <t>Continual improvement</t>
        </is>
      </c>
      <c r="D13" s="5" t="inlineStr">
        <is>
          <t>Are ISMS improvements identified, prioritized and tracked?</t>
        </is>
      </c>
      <c r="E13" s="5" t="inlineStr">
        <is>
          <t>Applicable</t>
        </is>
      </c>
      <c r="F13" s="5" t="inlineStr">
        <is>
          <t>Partially Implemented</t>
        </is>
      </c>
      <c r="G13" s="5" t="inlineStr">
        <is>
          <t>Fully Implemented</t>
        </is>
      </c>
      <c r="H13" s="5" t="inlineStr">
        <is>
          <t>Yes</t>
        </is>
      </c>
      <c r="I13" s="5" t="inlineStr">
        <is>
          <t>Medium</t>
        </is>
      </c>
      <c r="J13" s="5" t="inlineStr">
        <is>
          <t>Improvement actions are not consistently tracked.</t>
        </is>
      </c>
      <c r="K13" s="5" t="inlineStr">
        <is>
          <t>Create an ISMS improvement backlog.</t>
        </is>
      </c>
      <c r="L13" s="5" t="inlineStr">
        <is>
          <t>GRC</t>
        </is>
      </c>
    </row>
    <row r="14">
      <c r="A14" s="5" t="inlineStr">
        <is>
          <t>Access Control</t>
        </is>
      </c>
      <c r="B14" s="5" t="inlineStr">
        <is>
          <t>A.5.15</t>
        </is>
      </c>
      <c r="C14" s="5" t="inlineStr">
        <is>
          <t>Access control</t>
        </is>
      </c>
      <c r="D14" s="5" t="inlineStr">
        <is>
          <t>Are access-control rules established and aligned to risk?</t>
        </is>
      </c>
      <c r="E14" s="5" t="inlineStr">
        <is>
          <t>Applicable</t>
        </is>
      </c>
      <c r="F14" s="5" t="inlineStr">
        <is>
          <t>Partially Implemented</t>
        </is>
      </c>
      <c r="G14" s="5" t="inlineStr">
        <is>
          <t>Fully Implemented</t>
        </is>
      </c>
      <c r="H14" s="5" t="inlineStr">
        <is>
          <t>Yes</t>
        </is>
      </c>
      <c r="I14" s="5" t="inlineStr">
        <is>
          <t>Critical</t>
        </is>
      </c>
      <c r="J14" s="5" t="inlineStr">
        <is>
          <t>Periodic review and exception handling are inconsistent.</t>
        </is>
      </c>
      <c r="K14" s="5" t="inlineStr">
        <is>
          <t>Formalize access standards, reviews and exception approval.</t>
        </is>
      </c>
      <c r="L14" s="5" t="inlineStr">
        <is>
          <t>IAM</t>
        </is>
      </c>
    </row>
    <row r="15">
      <c r="A15" s="5" t="inlineStr">
        <is>
          <t>Identity</t>
        </is>
      </c>
      <c r="B15" s="5" t="inlineStr">
        <is>
          <t>A.5.16</t>
        </is>
      </c>
      <c r="C15" s="5" t="inlineStr">
        <is>
          <t>Identity management</t>
        </is>
      </c>
      <c r="D15" s="5" t="inlineStr">
        <is>
          <t>Are identities managed throughout their lifecycle?</t>
        </is>
      </c>
      <c r="E15" s="5" t="inlineStr">
        <is>
          <t>Applicable</t>
        </is>
      </c>
      <c r="F15" s="5" t="inlineStr">
        <is>
          <t>Partially Implemented</t>
        </is>
      </c>
      <c r="G15" s="5" t="inlineStr">
        <is>
          <t>Fully Implemented</t>
        </is>
      </c>
      <c r="H15" s="5" t="inlineStr">
        <is>
          <t>Yes</t>
        </is>
      </c>
      <c r="I15" s="5" t="inlineStr">
        <is>
          <t>Critical</t>
        </is>
      </c>
      <c r="J15" s="5" t="inlineStr">
        <is>
          <t>Joiner/mover/leaver evidence is inconsistent.</t>
        </is>
      </c>
      <c r="K15" s="5" t="inlineStr">
        <is>
          <t>Standardize identity lifecycle workflows and evidence.</t>
        </is>
      </c>
      <c r="L15" s="5" t="inlineStr">
        <is>
          <t>IAM / HR</t>
        </is>
      </c>
    </row>
    <row r="16">
      <c r="A16" s="5" t="inlineStr">
        <is>
          <t>Authentication</t>
        </is>
      </c>
      <c r="B16" s="5" t="inlineStr">
        <is>
          <t>A.8.5</t>
        </is>
      </c>
      <c r="C16" s="5" t="inlineStr">
        <is>
          <t>Secure authentication</t>
        </is>
      </c>
      <c r="D16" s="5" t="inlineStr">
        <is>
          <t>Are secure authentication technologies implemented according to risk?</t>
        </is>
      </c>
      <c r="E16" s="5" t="inlineStr">
        <is>
          <t>Applicable</t>
        </is>
      </c>
      <c r="F16" s="5" t="inlineStr">
        <is>
          <t>Partially Implemented</t>
        </is>
      </c>
      <c r="G16" s="5" t="inlineStr">
        <is>
          <t>Fully Implemented</t>
        </is>
      </c>
      <c r="H16" s="5" t="inlineStr">
        <is>
          <t>Yes</t>
        </is>
      </c>
      <c r="I16" s="5" t="inlineStr">
        <is>
          <t>Critical</t>
        </is>
      </c>
      <c r="J16" s="5" t="inlineStr">
        <is>
          <t>Legacy and third-party exceptions remain.</t>
        </is>
      </c>
      <c r="K16" s="5" t="inlineStr">
        <is>
          <t>Expand MFA coverage and exception governance.</t>
        </is>
      </c>
      <c r="L16" s="5" t="inlineStr">
        <is>
          <t>IAM / Security</t>
        </is>
      </c>
    </row>
    <row r="17">
      <c r="A17" s="5" t="inlineStr">
        <is>
          <t>Configuration</t>
        </is>
      </c>
      <c r="B17" s="5" t="inlineStr">
        <is>
          <t>A.8.9</t>
        </is>
      </c>
      <c r="C17" s="5" t="inlineStr">
        <is>
          <t>Configuration management</t>
        </is>
      </c>
      <c r="D17" s="5" t="inlineStr">
        <is>
          <t>Are secure configurations established and maintained?</t>
        </is>
      </c>
      <c r="E17" s="5" t="inlineStr">
        <is>
          <t>Applicable</t>
        </is>
      </c>
      <c r="F17" s="5" t="inlineStr">
        <is>
          <t>Partially Implemented</t>
        </is>
      </c>
      <c r="G17" s="5" t="inlineStr">
        <is>
          <t>Fully Implemented</t>
        </is>
      </c>
      <c r="H17" s="5" t="inlineStr">
        <is>
          <t>Yes</t>
        </is>
      </c>
      <c r="I17" s="5" t="inlineStr">
        <is>
          <t>High</t>
        </is>
      </c>
      <c r="J17" s="5" t="inlineStr">
        <is>
          <t>Baseline coverage is incomplete.</t>
        </is>
      </c>
      <c r="K17" s="5" t="inlineStr">
        <is>
          <t>Define secure baselines and continuous monitoring.</t>
        </is>
      </c>
      <c r="L17" s="5" t="inlineStr">
        <is>
          <t>IT / Security</t>
        </is>
      </c>
    </row>
    <row r="18">
      <c r="A18" s="5" t="inlineStr">
        <is>
          <t>Vulnerability Management</t>
        </is>
      </c>
      <c r="B18" s="5" t="inlineStr">
        <is>
          <t>A.8.8</t>
        </is>
      </c>
      <c r="C18" s="5" t="inlineStr">
        <is>
          <t>Management of technical vulnerabilities</t>
        </is>
      </c>
      <c r="D18" s="5" t="inlineStr">
        <is>
          <t>Are vulnerabilities identified, prioritized and remediated?</t>
        </is>
      </c>
      <c r="E18" s="5" t="inlineStr">
        <is>
          <t>Applicable</t>
        </is>
      </c>
      <c r="F18" s="5" t="inlineStr">
        <is>
          <t>Partially Implemented</t>
        </is>
      </c>
      <c r="G18" s="5" t="inlineStr">
        <is>
          <t>Fully Implemented</t>
        </is>
      </c>
      <c r="H18" s="5" t="inlineStr">
        <is>
          <t>Yes</t>
        </is>
      </c>
      <c r="I18" s="5" t="inlineStr">
        <is>
          <t>High</t>
        </is>
      </c>
      <c r="J18" s="5" t="inlineStr">
        <is>
          <t>Remediation SLAs and exceptions are inconsistent.</t>
        </is>
      </c>
      <c r="K18" s="5" t="inlineStr">
        <is>
          <t>Define severity-based remediation SLAs.</t>
        </is>
      </c>
      <c r="L18" s="5" t="inlineStr">
        <is>
          <t>Security / IT</t>
        </is>
      </c>
    </row>
    <row r="19">
      <c r="A19" s="5" t="inlineStr">
        <is>
          <t>Logging</t>
        </is>
      </c>
      <c r="B19" s="5" t="inlineStr">
        <is>
          <t>A.8.15</t>
        </is>
      </c>
      <c r="C19" s="5" t="inlineStr">
        <is>
          <t>Logging</t>
        </is>
      </c>
      <c r="D19" s="5" t="inlineStr">
        <is>
          <t>Are relevant events logged, protected and reviewed?</t>
        </is>
      </c>
      <c r="E19" s="5" t="inlineStr">
        <is>
          <t>Applicable</t>
        </is>
      </c>
      <c r="F19" s="5" t="inlineStr">
        <is>
          <t>Partially Implemented</t>
        </is>
      </c>
      <c r="G19" s="5" t="inlineStr">
        <is>
          <t>Fully Implemented</t>
        </is>
      </c>
      <c r="H19" s="5" t="inlineStr">
        <is>
          <t>Yes</t>
        </is>
      </c>
      <c r="I19" s="5" t="inlineStr">
        <is>
          <t>High</t>
        </is>
      </c>
      <c r="J19" s="5" t="inlineStr">
        <is>
          <t>Logging coverage and retention vary.</t>
        </is>
      </c>
      <c r="K19" s="5" t="inlineStr">
        <is>
          <t>Define logging standards and retention requirements.</t>
        </is>
      </c>
      <c r="L19" s="5" t="inlineStr">
        <is>
          <t>SOC</t>
        </is>
      </c>
    </row>
    <row r="20">
      <c r="A20" s="5" t="inlineStr">
        <is>
          <t>Incident Management</t>
        </is>
      </c>
      <c r="B20" s="5" t="inlineStr">
        <is>
          <t>A.5.24</t>
        </is>
      </c>
      <c r="C20" s="5" t="inlineStr">
        <is>
          <t>Incident management planning</t>
        </is>
      </c>
      <c r="D20" s="5" t="inlineStr">
        <is>
          <t>Are incident-management processes prepared for execution?</t>
        </is>
      </c>
      <c r="E20" s="5" t="inlineStr">
        <is>
          <t>Applicable</t>
        </is>
      </c>
      <c r="F20" s="5" t="inlineStr">
        <is>
          <t>Partially Implemented</t>
        </is>
      </c>
      <c r="G20" s="5" t="inlineStr">
        <is>
          <t>Fully Implemented</t>
        </is>
      </c>
      <c r="H20" s="5" t="inlineStr">
        <is>
          <t>Yes</t>
        </is>
      </c>
      <c r="I20" s="5" t="inlineStr">
        <is>
          <t>High</t>
        </is>
      </c>
      <c r="J20" s="5" t="inlineStr">
        <is>
          <t>Exercises and role validation are inconsistent.</t>
        </is>
      </c>
      <c r="K20" s="5" t="inlineStr">
        <is>
          <t>Run tabletop exercises and maintain incident readiness evidence.</t>
        </is>
      </c>
      <c r="L20" s="5" t="inlineStr">
        <is>
          <t>SOC / GRC</t>
        </is>
      </c>
    </row>
    <row r="21">
      <c r="A21" s="5" t="inlineStr">
        <is>
          <t>Supplier Security</t>
        </is>
      </c>
      <c r="B21" s="5" t="inlineStr">
        <is>
          <t>A.5.19</t>
        </is>
      </c>
      <c r="C21" s="5" t="inlineStr">
        <is>
          <t>Supplier relationships</t>
        </is>
      </c>
      <c r="D21" s="5" t="inlineStr">
        <is>
          <t>Are information-security risks in supplier relationships managed?</t>
        </is>
      </c>
      <c r="E21" s="5" t="inlineStr">
        <is>
          <t>Applicable</t>
        </is>
      </c>
      <c r="F21" s="5" t="inlineStr">
        <is>
          <t>Partially Implemented</t>
        </is>
      </c>
      <c r="G21" s="5" t="inlineStr">
        <is>
          <t>Fully Implemented</t>
        </is>
      </c>
      <c r="H21" s="5" t="inlineStr">
        <is>
          <t>Yes</t>
        </is>
      </c>
      <c r="I21" s="5" t="inlineStr">
        <is>
          <t>High</t>
        </is>
      </c>
      <c r="J21" s="5" t="inlineStr">
        <is>
          <t>Supplier requirements vary by vendor tier.</t>
        </is>
      </c>
      <c r="K21" s="5" t="inlineStr">
        <is>
          <t>Implement risk-tiered supplier due diligence and contractual requirements.</t>
        </is>
      </c>
      <c r="L21" s="5" t="inlineStr">
        <is>
          <t>Third-Party Risk / Procurement</t>
        </is>
      </c>
    </row>
  </sheetData>
  <autoFilter ref="A1:L2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8" customWidth="1" min="3" max="3"/>
    <col width="14" customWidth="1" min="4" max="4"/>
    <col width="12" customWidth="1" min="5" max="5"/>
    <col width="12" customWidth="1" min="6" max="6"/>
    <col width="16" customWidth="1" min="7" max="7"/>
    <col width="25" customWidth="1" min="8" max="8"/>
    <col width="18" customWidth="1" min="9" max="9"/>
    <col width="50" customWidth="1" min="11" max="11"/>
  </cols>
  <sheetData>
    <row r="1">
      <c r="A1" s="4" t="inlineStr">
        <is>
          <t>Risk ID</t>
        </is>
      </c>
      <c r="B1" s="4" t="inlineStr">
        <is>
          <t>Risk</t>
        </is>
      </c>
      <c r="C1" s="4" t="inlineStr">
        <is>
          <t>Likelihood (1-5)</t>
        </is>
      </c>
      <c r="D1" s="4" t="inlineStr">
        <is>
          <t>Impact (1-5)</t>
        </is>
      </c>
      <c r="E1" s="4" t="inlineStr">
        <is>
          <t>Score</t>
        </is>
      </c>
      <c r="F1" s="4" t="inlineStr">
        <is>
          <t>Rating</t>
        </is>
      </c>
      <c r="G1" s="4" t="inlineStr">
        <is>
          <t>Treatment</t>
        </is>
      </c>
      <c r="H1" s="4" t="inlineStr">
        <is>
          <t>Owner</t>
        </is>
      </c>
      <c r="I1" s="4" t="inlineStr">
        <is>
          <t>Timeframe</t>
        </is>
      </c>
      <c r="K1" s="4" t="inlineStr">
        <is>
          <t>Scoring note</t>
        </is>
      </c>
    </row>
    <row r="2">
      <c r="A2" s="5" t="inlineStr">
        <is>
          <t>ISO-R01</t>
        </is>
      </c>
      <c r="B2" s="5" t="inlineStr">
        <is>
          <t>Inconsistent identity lifecycle controls</t>
        </is>
      </c>
      <c r="C2" s="5" t="n">
        <v>4</v>
      </c>
      <c r="D2" s="5" t="n">
        <v>5</v>
      </c>
      <c r="E2" s="5">
        <f>C2*D2</f>
        <v/>
      </c>
      <c r="F2" s="5">
        <f>IF(E2&gt;=20,"Critical",IF(E2&gt;=12,"High",IF(E2&gt;=6,"Medium","Low")))</f>
        <v/>
      </c>
      <c r="G2" s="5" t="inlineStr">
        <is>
          <t>Mitigate</t>
        </is>
      </c>
      <c r="H2" s="5" t="inlineStr">
        <is>
          <t>IAM</t>
        </is>
      </c>
      <c r="I2" s="5" t="inlineStr">
        <is>
          <t>0-90 days</t>
        </is>
      </c>
      <c r="K2" s="7" t="inlineStr">
        <is>
          <t>Likelihood × Impact is a portfolio methodology used for this simulation; ISO/IEC 27001 does not prescribe this specific 5x5 model.</t>
        </is>
      </c>
    </row>
    <row r="3">
      <c r="A3" s="5" t="inlineStr">
        <is>
          <t>ISO-R02</t>
        </is>
      </c>
      <c r="B3" s="5" t="inlineStr">
        <is>
          <t>Inconsistent information-security risk treatment documentation</t>
        </is>
      </c>
      <c r="C3" s="5" t="n">
        <v>4</v>
      </c>
      <c r="D3" s="5" t="n">
        <v>5</v>
      </c>
      <c r="E3" s="5">
        <f>C3*D3</f>
        <v/>
      </c>
      <c r="F3" s="5">
        <f>IF(E3&gt;=20,"Critical",IF(E3&gt;=12,"High",IF(E3&gt;=6,"Medium","Low")))</f>
        <v/>
      </c>
      <c r="G3" s="5" t="inlineStr">
        <is>
          <t>Mitigate</t>
        </is>
      </c>
      <c r="H3" s="5" t="inlineStr">
        <is>
          <t>GRC</t>
        </is>
      </c>
      <c r="I3" s="5" t="inlineStr">
        <is>
          <t>0-90 days</t>
        </is>
      </c>
    </row>
    <row r="4">
      <c r="A4" s="5" t="inlineStr">
        <is>
          <t>ISO-R03</t>
        </is>
      </c>
      <c r="B4" s="5" t="inlineStr">
        <is>
          <t>Insufficient vulnerability remediation governance</t>
        </is>
      </c>
      <c r="C4" s="5" t="n">
        <v>4</v>
      </c>
      <c r="D4" s="5" t="n">
        <v>4</v>
      </c>
      <c r="E4" s="5">
        <f>C4*D4</f>
        <v/>
      </c>
      <c r="F4" s="5">
        <f>IF(E4&gt;=20,"Critical",IF(E4&gt;=12,"High",IF(E4&gt;=6,"Medium","Low")))</f>
        <v/>
      </c>
      <c r="G4" s="5" t="inlineStr">
        <is>
          <t>Mitigate</t>
        </is>
      </c>
      <c r="H4" s="5" t="inlineStr">
        <is>
          <t>Security / IT</t>
        </is>
      </c>
      <c r="I4" s="5" t="inlineStr">
        <is>
          <t>31-120 days</t>
        </is>
      </c>
    </row>
    <row r="5">
      <c r="A5" s="5" t="inlineStr">
        <is>
          <t>ISO-R04</t>
        </is>
      </c>
      <c r="B5" s="5" t="inlineStr">
        <is>
          <t>Supplier security requirements not consistently risk-tiered</t>
        </is>
      </c>
      <c r="C5" s="5" t="n">
        <v>3</v>
      </c>
      <c r="D5" s="5" t="n">
        <v>4</v>
      </c>
      <c r="E5" s="5">
        <f>C5*D5</f>
        <v/>
      </c>
      <c r="F5" s="5">
        <f>IF(E5&gt;=20,"Critical",IF(E5&gt;=12,"High",IF(E5&gt;=6,"Medium","Low")))</f>
        <v/>
      </c>
      <c r="G5" s="5" t="inlineStr">
        <is>
          <t>Mitigate</t>
        </is>
      </c>
      <c r="H5" s="5" t="inlineStr">
        <is>
          <t>Third-Party Risk</t>
        </is>
      </c>
      <c r="I5" s="5" t="inlineStr">
        <is>
          <t>31-120 days</t>
        </is>
      </c>
    </row>
    <row r="6">
      <c r="A6" s="5" t="inlineStr">
        <is>
          <t>ISO-R05</t>
        </is>
      </c>
      <c r="B6" s="5" t="inlineStr">
        <is>
          <t>Incomplete security logging coverage</t>
        </is>
      </c>
      <c r="C6" s="5" t="n">
        <v>3</v>
      </c>
      <c r="D6" s="5" t="n">
        <v>4</v>
      </c>
      <c r="E6" s="5">
        <f>C6*D6</f>
        <v/>
      </c>
      <c r="F6" s="5">
        <f>IF(E6&gt;=20,"Critical",IF(E6&gt;=12,"High",IF(E6&gt;=6,"Medium","Low")))</f>
        <v/>
      </c>
      <c r="G6" s="5" t="inlineStr">
        <is>
          <t>Mitigate</t>
        </is>
      </c>
      <c r="H6" s="5" t="inlineStr">
        <is>
          <t>SOC</t>
        </is>
      </c>
      <c r="I6" s="5" t="inlineStr">
        <is>
          <t>31-120 days</t>
        </is>
      </c>
    </row>
    <row r="7">
      <c r="A7" s="5" t="inlineStr">
        <is>
          <t>ISO-R06</t>
        </is>
      </c>
      <c r="B7" s="5" t="inlineStr">
        <is>
          <t>No formal ISMS internal-audit program</t>
        </is>
      </c>
      <c r="C7" s="5" t="n">
        <v>3</v>
      </c>
      <c r="D7" s="5" t="n">
        <v>4</v>
      </c>
      <c r="E7" s="5">
        <f>C7*D7</f>
        <v/>
      </c>
      <c r="F7" s="5">
        <f>IF(E7&gt;=20,"Critical",IF(E7&gt;=12,"High",IF(E7&gt;=6,"Medium","Low")))</f>
        <v/>
      </c>
      <c r="G7" s="5" t="inlineStr">
        <is>
          <t>Mitigate</t>
        </is>
      </c>
      <c r="H7" s="5" t="inlineStr">
        <is>
          <t>GRC / Internal Audit</t>
        </is>
      </c>
      <c r="I7" s="5" t="inlineStr">
        <is>
          <t>61-120 days</t>
        </is>
      </c>
    </row>
  </sheetData>
  <autoFilter ref="A1:I7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4" customWidth="1" min="4" max="4"/>
    <col width="55" customWidth="1" min="5" max="5"/>
    <col width="55" customWidth="1" min="6" max="6"/>
  </cols>
  <sheetData>
    <row r="1">
      <c r="A1" s="4" t="inlineStr">
        <is>
          <t>Control</t>
        </is>
      </c>
      <c r="B1" s="4" t="inlineStr">
        <is>
          <t>Theme</t>
        </is>
      </c>
      <c r="C1" s="4" t="inlineStr">
        <is>
          <t>Applicable?</t>
        </is>
      </c>
      <c r="D1" s="4" t="inlineStr">
        <is>
          <t>Status</t>
        </is>
      </c>
      <c r="E1" s="4" t="inlineStr">
        <is>
          <t>Rationale</t>
        </is>
      </c>
      <c r="F1" s="4" t="inlineStr">
        <is>
          <t>Treatment</t>
        </is>
      </c>
    </row>
    <row r="2">
      <c r="A2" s="5" t="inlineStr">
        <is>
          <t>A.5.15</t>
        </is>
      </c>
      <c r="B2" s="5" t="inlineStr">
        <is>
          <t>Organizational</t>
        </is>
      </c>
      <c r="C2" s="5" t="inlineStr">
        <is>
          <t>Yes</t>
        </is>
      </c>
      <c r="D2" s="5" t="inlineStr">
        <is>
          <t>Partially Implemented</t>
        </is>
      </c>
      <c r="E2" s="5" t="inlineStr">
        <is>
          <t>Access control is relevant to systems handling organizational information.</t>
        </is>
      </c>
      <c r="F2" s="5" t="inlineStr">
        <is>
          <t>Strengthen access governance and evidence.</t>
        </is>
      </c>
    </row>
    <row r="3">
      <c r="A3" s="5" t="inlineStr">
        <is>
          <t>A.5.16</t>
        </is>
      </c>
      <c r="B3" s="5" t="inlineStr">
        <is>
          <t>Organizational</t>
        </is>
      </c>
      <c r="C3" s="5" t="inlineStr">
        <is>
          <t>Yes</t>
        </is>
      </c>
      <c r="D3" s="5" t="inlineStr">
        <is>
          <t>Partially Implemented</t>
        </is>
      </c>
      <c r="E3" s="5" t="inlineStr">
        <is>
          <t>Identity lifecycle risk is material to workforce and privileged access.</t>
        </is>
      </c>
      <c r="F3" s="5" t="inlineStr">
        <is>
          <t>Standardize joiner/mover/leaver controls.</t>
        </is>
      </c>
    </row>
    <row r="4">
      <c r="A4" s="5" t="inlineStr">
        <is>
          <t>A.5.19</t>
        </is>
      </c>
      <c r="B4" s="5" t="inlineStr">
        <is>
          <t>Organizational</t>
        </is>
      </c>
      <c r="C4" s="5" t="inlineStr">
        <is>
          <t>Yes</t>
        </is>
      </c>
      <c r="D4" s="5" t="inlineStr">
        <is>
          <t>Partially Implemented</t>
        </is>
      </c>
      <c r="E4" s="5" t="inlineStr">
        <is>
          <t>Third parties process or access organizational information.</t>
        </is>
      </c>
      <c r="F4" s="5" t="inlineStr">
        <is>
          <t>Implement risk-tiered supplier reviews.</t>
        </is>
      </c>
    </row>
    <row r="5">
      <c r="A5" s="5" t="inlineStr">
        <is>
          <t>A.5.24</t>
        </is>
      </c>
      <c r="B5" s="5" t="inlineStr">
        <is>
          <t>Organizational</t>
        </is>
      </c>
      <c r="C5" s="5" t="inlineStr">
        <is>
          <t>Yes</t>
        </is>
      </c>
      <c r="D5" s="5" t="inlineStr">
        <is>
          <t>Partially Implemented</t>
        </is>
      </c>
      <c r="E5" s="5" t="inlineStr">
        <is>
          <t>Incident readiness is material to the simulated environment.</t>
        </is>
      </c>
      <c r="F5" s="5" t="inlineStr">
        <is>
          <t>Run tabletop exercises.</t>
        </is>
      </c>
    </row>
    <row r="6">
      <c r="A6" s="5" t="inlineStr">
        <is>
          <t>A.8.5</t>
        </is>
      </c>
      <c r="B6" s="5" t="inlineStr">
        <is>
          <t>Technological</t>
        </is>
      </c>
      <c r="C6" s="5" t="inlineStr">
        <is>
          <t>Yes</t>
        </is>
      </c>
      <c r="D6" s="5" t="inlineStr">
        <is>
          <t>Partially Implemented</t>
        </is>
      </c>
      <c r="E6" s="5" t="inlineStr">
        <is>
          <t>Authentication protects systems and data in scope.</t>
        </is>
      </c>
      <c r="F6" s="5" t="inlineStr">
        <is>
          <t>Expand MFA and exception governance.</t>
        </is>
      </c>
    </row>
    <row r="7">
      <c r="A7" s="5" t="inlineStr">
        <is>
          <t>A.8.8</t>
        </is>
      </c>
      <c r="B7" s="5" t="inlineStr">
        <is>
          <t>Technological</t>
        </is>
      </c>
      <c r="C7" s="5" t="inlineStr">
        <is>
          <t>Yes</t>
        </is>
      </c>
      <c r="D7" s="5" t="inlineStr">
        <is>
          <t>Partially Implemented</t>
        </is>
      </c>
      <c r="E7" s="5" t="inlineStr">
        <is>
          <t>Technical vulnerabilities can affect CIA.</t>
        </is>
      </c>
      <c r="F7" s="5" t="inlineStr">
        <is>
          <t>Establish remediation SLAs.</t>
        </is>
      </c>
    </row>
    <row r="8">
      <c r="A8" s="5" t="inlineStr">
        <is>
          <t>A.8.9</t>
        </is>
      </c>
      <c r="B8" s="5" t="inlineStr">
        <is>
          <t>Technological</t>
        </is>
      </c>
      <c r="C8" s="5" t="inlineStr">
        <is>
          <t>Yes</t>
        </is>
      </c>
      <c r="D8" s="5" t="inlineStr">
        <is>
          <t>Partially Implemented</t>
        </is>
      </c>
      <c r="E8" s="5" t="inlineStr">
        <is>
          <t>Secure configuration reduces misconfiguration risk.</t>
        </is>
      </c>
      <c r="F8" s="5" t="inlineStr">
        <is>
          <t>Define and monitor baselines.</t>
        </is>
      </c>
    </row>
    <row r="9">
      <c r="A9" s="5" t="inlineStr">
        <is>
          <t>A.8.15</t>
        </is>
      </c>
      <c r="B9" s="5" t="inlineStr">
        <is>
          <t>Technological</t>
        </is>
      </c>
      <c r="C9" s="5" t="inlineStr">
        <is>
          <t>Yes</t>
        </is>
      </c>
      <c r="D9" s="5" t="inlineStr">
        <is>
          <t>Partially Implemented</t>
        </is>
      </c>
      <c r="E9" s="5" t="inlineStr">
        <is>
          <t>Logging supports monitoring and investigation.</t>
        </is>
      </c>
      <c r="F9" s="5" t="inlineStr">
        <is>
          <t>Standardize logging coverage and retention.</t>
        </is>
      </c>
    </row>
  </sheetData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5" customWidth="1" min="3" max="3"/>
    <col width="24" customWidth="1" min="4" max="4"/>
    <col width="14" customWidth="1" min="5" max="5"/>
    <col width="18" customWidth="1" min="6" max="6"/>
    <col width="58" customWidth="1" min="7" max="7"/>
  </cols>
  <sheetData>
    <row r="1">
      <c r="A1" s="4" t="inlineStr">
        <is>
          <t>Action ID</t>
        </is>
      </c>
      <c r="B1" s="4" t="inlineStr">
        <is>
          <t>Gap</t>
        </is>
      </c>
      <c r="C1" s="4" t="inlineStr">
        <is>
          <t>Remediation Action</t>
        </is>
      </c>
      <c r="D1" s="4" t="inlineStr">
        <is>
          <t>Owner</t>
        </is>
      </c>
      <c r="E1" s="4" t="inlineStr">
        <is>
          <t>Priority</t>
        </is>
      </c>
      <c r="F1" s="4" t="inlineStr">
        <is>
          <t>Timeframe</t>
        </is>
      </c>
      <c r="G1" s="4" t="inlineStr">
        <is>
          <t>Success Measure</t>
        </is>
      </c>
    </row>
    <row r="2">
      <c r="A2" s="5" t="inlineStr">
        <is>
          <t>ISO-A01</t>
        </is>
      </c>
      <c r="B2" s="5" t="inlineStr">
        <is>
          <t>Identity lifecycle</t>
        </is>
      </c>
      <c r="C2" s="5" t="inlineStr">
        <is>
          <t>Standardize joiner/mover/leaver workflows, approvals, deprovisioning evidence and access reviews.</t>
        </is>
      </c>
      <c r="D2" s="5" t="inlineStr">
        <is>
          <t>IAM / HR</t>
        </is>
      </c>
      <c r="E2" s="5" t="inlineStr">
        <is>
          <t>Critical</t>
        </is>
      </c>
      <c r="F2" s="5" t="inlineStr">
        <is>
          <t>0-90 days</t>
        </is>
      </c>
      <c r="G2" s="5" t="inlineStr">
        <is>
          <t>Sampled lifecycle events have approval and closure evidence.</t>
        </is>
      </c>
    </row>
    <row r="3">
      <c r="A3" s="5" t="inlineStr">
        <is>
          <t>ISO-A02</t>
        </is>
      </c>
      <c r="B3" s="5" t="inlineStr">
        <is>
          <t>Risk assessment and treatment</t>
        </is>
      </c>
      <c r="C3" s="5" t="inlineStr">
        <is>
          <t>Formalize ISMS risk methodology, treatment plans, acceptance criteria and review cadence.</t>
        </is>
      </c>
      <c r="D3" s="5" t="inlineStr">
        <is>
          <t>GRC</t>
        </is>
      </c>
      <c r="E3" s="5" t="inlineStr">
        <is>
          <t>Critical</t>
        </is>
      </c>
      <c r="F3" s="5" t="inlineStr">
        <is>
          <t>0-90 days</t>
        </is>
      </c>
      <c r="G3" s="5" t="inlineStr">
        <is>
          <t>Material risks have owners, treatments and review dates.</t>
        </is>
      </c>
    </row>
    <row r="4">
      <c r="A4" s="5" t="inlineStr">
        <is>
          <t>ISO-A03</t>
        </is>
      </c>
      <c r="B4" s="5" t="inlineStr">
        <is>
          <t>Vulnerability management</t>
        </is>
      </c>
      <c r="C4" s="5" t="inlineStr">
        <is>
          <t>Define severity-based remediation SLAs and exception governance.</t>
        </is>
      </c>
      <c r="D4" s="5" t="inlineStr">
        <is>
          <t>Security / IT</t>
        </is>
      </c>
      <c r="E4" s="5" t="inlineStr">
        <is>
          <t>High</t>
        </is>
      </c>
      <c r="F4" s="5" t="inlineStr">
        <is>
          <t>31-120 days</t>
        </is>
      </c>
      <c r="G4" s="5" t="inlineStr">
        <is>
          <t>Critical/high vulnerabilities are tracked against approved SLAs.</t>
        </is>
      </c>
    </row>
    <row r="5">
      <c r="A5" s="5" t="inlineStr">
        <is>
          <t>ISO-A04</t>
        </is>
      </c>
      <c r="B5" s="5" t="inlineStr">
        <is>
          <t>Supplier security</t>
        </is>
      </c>
      <c r="C5" s="5" t="inlineStr">
        <is>
          <t>Introduce vendor risk tiers, due diligence, contractual requirements and reassessment.</t>
        </is>
      </c>
      <c r="D5" s="5" t="inlineStr">
        <is>
          <t>Third-Party Risk</t>
        </is>
      </c>
      <c r="E5" s="5" t="inlineStr">
        <is>
          <t>High</t>
        </is>
      </c>
      <c r="F5" s="5" t="inlineStr">
        <is>
          <t>31-120 days</t>
        </is>
      </c>
      <c r="G5" s="5" t="inlineStr">
        <is>
          <t>Tier-1 suppliers have current security assessments.</t>
        </is>
      </c>
    </row>
    <row r="6">
      <c r="A6" s="5" t="inlineStr">
        <is>
          <t>ISO-A05</t>
        </is>
      </c>
      <c r="B6" s="5" t="inlineStr">
        <is>
          <t>Logging</t>
        </is>
      </c>
      <c r="C6" s="5" t="inlineStr">
        <is>
          <t>Define minimum logging standards, retention, access restrictions and monitoring coverage.</t>
        </is>
      </c>
      <c r="D6" s="5" t="inlineStr">
        <is>
          <t>SOC</t>
        </is>
      </c>
      <c r="E6" s="5" t="inlineStr">
        <is>
          <t>High</t>
        </is>
      </c>
      <c r="F6" s="5" t="inlineStr">
        <is>
          <t>31-120 days</t>
        </is>
      </c>
      <c r="G6" s="5" t="inlineStr">
        <is>
          <t>Critical systems meet approved logging requirements.</t>
        </is>
      </c>
    </row>
    <row r="7">
      <c r="A7" s="5" t="inlineStr">
        <is>
          <t>ISO-A06</t>
        </is>
      </c>
      <c r="B7" s="5" t="inlineStr">
        <is>
          <t>Internal audit</t>
        </is>
      </c>
      <c r="C7" s="5" t="inlineStr">
        <is>
          <t>Create an ISMS internal-audit program with scope, criteria, evidence and follow-up.</t>
        </is>
      </c>
      <c r="D7" s="5" t="inlineStr">
        <is>
          <t>GRC / Internal Audit</t>
        </is>
      </c>
      <c r="E7" s="5" t="inlineStr">
        <is>
          <t>High</t>
        </is>
      </c>
      <c r="F7" s="5" t="inlineStr">
        <is>
          <t>61-120 days</t>
        </is>
      </c>
      <c r="G7" s="5" t="inlineStr">
        <is>
          <t>Annual audit plan approved and findings tracked.</t>
        </is>
      </c>
    </row>
  </sheetData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2" t="inlineStr">
        <is>
          <t>Project</t>
        </is>
      </c>
      <c r="B2" s="5" t="inlineStr">
        <is>
          <t>ISO/IEC 27001:2022 Gap Assessment</t>
        </is>
      </c>
    </row>
    <row r="3">
      <c r="A3" s="2" t="inlineStr">
        <is>
          <t>Organization</t>
        </is>
      </c>
      <c r="B3" s="5" t="inlineStr">
        <is>
          <t>Maple Financial Services</t>
        </is>
      </c>
    </row>
    <row r="4">
      <c r="A4" s="2" t="inlineStr">
        <is>
          <t>Industry</t>
        </is>
      </c>
      <c r="B4" s="5" t="inlineStr">
        <is>
          <t>Financial services</t>
        </is>
      </c>
    </row>
    <row r="5">
      <c r="A5" s="2" t="inlineStr">
        <is>
          <t>Employees</t>
        </is>
      </c>
      <c r="B5" s="5" t="inlineStr">
        <is>
          <t>500 (simulated)</t>
        </is>
      </c>
    </row>
    <row r="6">
      <c r="A6" s="2" t="inlineStr">
        <is>
          <t>Assessment Type</t>
        </is>
      </c>
      <c r="B6" s="5" t="inlineStr">
        <is>
          <t>Portfolio / simulated gap assessment</t>
        </is>
      </c>
    </row>
    <row r="7">
      <c r="A7" s="2" t="inlineStr">
        <is>
          <t>Scope</t>
        </is>
      </c>
      <c r="B7" s="5" t="inlineStr">
        <is>
          <t>Corporate IT, cloud services, employee access, customer information, security operations and key third parties.</t>
        </is>
      </c>
    </row>
    <row r="8">
      <c r="A8" s="2" t="inlineStr">
        <is>
          <t>Out of Scope</t>
        </is>
      </c>
      <c r="B8" s="5" t="inlineStr">
        <is>
          <t>Physical sites not supporting in-scope information systems; product engineering controls outside the simulated ISMS boundary.</t>
        </is>
      </c>
    </row>
    <row r="9">
      <c r="A9" s="2" t="inlineStr">
        <is>
          <t>Methodology</t>
        </is>
      </c>
      <c r="B9" s="5" t="inlineStr">
        <is>
          <t>Selected ISO/IEC 27001:2022 clauses and representative Annex A controls assessed for applicability, current state, target state, gap, rationale and remediation.</t>
        </is>
      </c>
    </row>
    <row r="10">
      <c r="A10" s="2" t="inlineStr">
        <is>
          <t>Important Note</t>
        </is>
      </c>
      <c r="B10" s="5" t="inlineStr">
        <is>
          <t>This is not a certification audit and does not claim conformity or certification. Assessment data and findings are fictional.</t>
        </is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48" customWidth="1" min="3" max="3"/>
    <col width="70" customWidth="1" min="4" max="4"/>
  </cols>
  <sheetData>
    <row r="1">
      <c r="A1" s="4" t="inlineStr">
        <is>
          <t>Source</t>
        </is>
      </c>
      <c r="B1" s="4" t="inlineStr">
        <is>
          <t>Reference</t>
        </is>
      </c>
      <c r="C1" s="4" t="inlineStr">
        <is>
          <t>Purpose</t>
        </is>
      </c>
      <c r="D1" s="4" t="inlineStr">
        <is>
          <t>URL</t>
        </is>
      </c>
    </row>
    <row r="2">
      <c r="A2" t="inlineStr">
        <is>
          <t>ISO</t>
        </is>
      </c>
      <c r="B2" t="inlineStr">
        <is>
          <t>ISO/IEC 27001:2022</t>
        </is>
      </c>
      <c r="C2" t="inlineStr">
        <is>
          <t>ISMS requirements standard</t>
        </is>
      </c>
      <c r="D2" t="inlineStr">
        <is>
          <t>https://www.iso.org/standard/27001</t>
        </is>
      </c>
    </row>
    <row r="3">
      <c r="A3" t="inlineStr">
        <is>
          <t>ISO</t>
        </is>
      </c>
      <c r="B3" t="inlineStr">
        <is>
          <t>ISO/IEC 27001:2022/Amd 1:2024</t>
        </is>
      </c>
      <c r="C3" t="inlineStr">
        <is>
          <t>2024 amendment</t>
        </is>
      </c>
      <c r="D3" t="inlineStr">
        <is>
          <t>https://www.iso.org/standard/88435.html</t>
        </is>
      </c>
    </row>
    <row r="4">
      <c r="A4" t="inlineStr">
        <is>
          <t>ISO/IEC JTC 1/SC 27</t>
        </is>
      </c>
      <c r="B4" t="inlineStr">
        <is>
          <t>ISO/IEC 27000 family</t>
        </is>
      </c>
      <c r="C4" t="inlineStr">
        <is>
          <t>Family overview</t>
        </is>
      </c>
      <c r="D4" t="inlineStr">
        <is>
          <t>https://committee.iso.org/standard/iso-iec-27000-family</t>
        </is>
      </c>
    </row>
  </sheetData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2026-09-24T22:06:41Z</dcterms:created>
  <dcterms:modified xmlns:dcterms="http://purl.org/dc/terms/" xmlns:xsi="http://www.w3.org/2001/XMLSchema-instance" xsi:type="dcterms:W3CDTF">2026-09-24T22:06:41Z</dcterms:modified>
</cp:coreProperties>
</file>